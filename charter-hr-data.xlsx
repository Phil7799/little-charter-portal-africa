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.otieno\Desktop\little-charter-portal-africa\"/>
    </mc:Choice>
  </mc:AlternateContent>
  <xr:revisionPtr revIDLastSave="0" documentId="13_ncr:1_{4E49EEDF-2776-4E0A-89E6-7A5D4C39AE7A}" xr6:coauthVersionLast="47" xr6:coauthVersionMax="47" xr10:uidLastSave="{00000000-0000-0000-0000-000000000000}"/>
  <bookViews>
    <workbookView xWindow="-110" yWindow="490" windowWidth="19420" windowHeight="10420" activeTab="1" xr2:uid="{F261A9E2-A265-499B-A3E3-724D58102812}"/>
  </bookViews>
  <sheets>
    <sheet name="charter" sheetId="1" r:id="rId1"/>
    <sheet name="hr" sheetId="2" r:id="rId2"/>
    <sheet name="hr2" sheetId="4" r:id="rId3"/>
    <sheet name="tele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2" i="2"/>
  <c r="J49" i="1"/>
  <c r="F49" i="1"/>
  <c r="J48" i="1"/>
  <c r="F48" i="1"/>
  <c r="J47" i="1"/>
  <c r="F47" i="1"/>
  <c r="J46" i="1"/>
  <c r="F46" i="1"/>
  <c r="J45" i="1"/>
  <c r="F45" i="1"/>
  <c r="J44" i="1"/>
  <c r="F44" i="1"/>
  <c r="J43" i="1"/>
  <c r="F43" i="1"/>
  <c r="J42" i="1"/>
  <c r="F42" i="1"/>
  <c r="J41" i="1"/>
  <c r="F41" i="1"/>
  <c r="J40" i="1"/>
  <c r="F40" i="1"/>
  <c r="J39" i="1"/>
  <c r="F39" i="1"/>
  <c r="J38" i="1"/>
  <c r="F38" i="1"/>
  <c r="J37" i="1"/>
  <c r="F37" i="1"/>
  <c r="J36" i="1"/>
  <c r="F36" i="1"/>
  <c r="J35" i="1"/>
  <c r="F35" i="1"/>
  <c r="J34" i="1"/>
  <c r="F34" i="1"/>
  <c r="J33" i="1"/>
  <c r="F33" i="1"/>
  <c r="J32" i="1"/>
  <c r="F32" i="1"/>
  <c r="J31" i="1"/>
  <c r="F31" i="1"/>
  <c r="J30" i="1"/>
  <c r="F30" i="1"/>
  <c r="J29" i="1"/>
  <c r="F29" i="1"/>
  <c r="J28" i="1"/>
  <c r="F28" i="1"/>
  <c r="F27" i="1"/>
  <c r="F2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<sst xmlns="http://schemas.openxmlformats.org/spreadsheetml/2006/main" count="274" uniqueCount="72">
  <si>
    <t>Month</t>
  </si>
  <si>
    <t>Associate</t>
  </si>
  <si>
    <t>new business revenue_2025</t>
  </si>
  <si>
    <t>existing business revenue_2025</t>
  </si>
  <si>
    <t>busbuddy revenue_2025</t>
  </si>
  <si>
    <t>Total Revenue_2025</t>
  </si>
  <si>
    <t>new business revenue_2026</t>
  </si>
  <si>
    <t>existing business revenue_2026</t>
  </si>
  <si>
    <t>busbuddy revenue_2026</t>
  </si>
  <si>
    <t>Total Revenue_2026</t>
  </si>
  <si>
    <t>Target 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</si>
  <si>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</si>
  <si>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</si>
  <si>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</si>
  <si>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</si>
  <si>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</si>
  <si>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</si>
  <si>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</si>
  <si>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</si>
  <si>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</si>
  <si>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</si>
  <si>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</si>
  <si>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</si>
  <si>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Business</t>
  </si>
  <si>
    <t>2026 Target</t>
  </si>
  <si>
    <t>Payroll System</t>
  </si>
  <si>
    <t>School Attendance System</t>
  </si>
  <si>
    <t>Week 1</t>
  </si>
  <si>
    <t>WeekNumber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</si>
  <si>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</si>
  <si>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</si>
  <si>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</si>
  <si>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</si>
  <si>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</si>
  <si>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</si>
  <si>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</si>
  <si>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</si>
  <si>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</si>
  <si>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</si>
  <si>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</si>
  <si>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</si>
  <si>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</si>
  <si>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</si>
  <si>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</si>
  <si>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</si>
  <si>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</si>
  <si>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</si>
  <si>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</si>
  <si>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</si>
  <si>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</si>
  <si>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</si>
  <si>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</si>
  <si>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BusBuddy_trials</t>
  </si>
  <si>
    <t>Violet</t>
  </si>
  <si>
    <t>Taxi_meetings_booked</t>
  </si>
  <si>
    <t>Silas</t>
  </si>
  <si>
    <t>Anthony</t>
  </si>
  <si>
    <t>Mercy</t>
  </si>
  <si>
    <t>Peter</t>
  </si>
  <si>
    <t>2025 Actual</t>
  </si>
  <si>
    <t>2026 Corporate Closures</t>
  </si>
  <si>
    <t>2026 New Revenue</t>
  </si>
  <si>
    <t>2026 Old Revenue</t>
  </si>
  <si>
    <t>2026 Total Revenue</t>
  </si>
  <si>
    <t>meetings_attended</t>
  </si>
  <si>
    <t>hr_closed</t>
  </si>
  <si>
    <t>hr_meetings_booked</t>
  </si>
  <si>
    <t>hrms_meetings_booked</t>
  </si>
  <si>
    <t>hr_free_trials</t>
  </si>
  <si>
    <t>hr_free_trials_target</t>
  </si>
  <si>
    <t>2025 New Revenue</t>
  </si>
  <si>
    <t>Edwin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</si>
</sst>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ambui.ngugi@little.africa" TargetMode="External"/><Relationship Id="rId3" Type="http://schemas.openxmlformats.org/officeDocument/2006/relationships/hyperlink" Target="mailto:wambui.ngugi@little.africa" TargetMode="External"/><Relationship Id="rId7" Type="http://schemas.openxmlformats.org/officeDocument/2006/relationships/hyperlink" Target="mailto:philip.ngugi@little.africa" TargetMode="External"/><Relationship Id="rId2" Type="http://schemas.openxmlformats.org/officeDocument/2006/relationships/hyperlink" Target="mailto:philip.ngugi@little.africa" TargetMode="External"/><Relationship Id="rId1" Type="http://schemas.openxmlformats.org/officeDocument/2006/relationships/hyperlink" Target="mailto:wambui.ngugi@little.africa" TargetMode="External"/><Relationship Id="rId6" Type="http://schemas.openxmlformats.org/officeDocument/2006/relationships/hyperlink" Target="mailto:wambui.ngugi@little.africa" TargetMode="External"/><Relationship Id="rId5" Type="http://schemas.openxmlformats.org/officeDocument/2006/relationships/hyperlink" Target="mailto:philip.ngugi@little.africa" TargetMode="External"/><Relationship Id="rId4" Type="http://schemas.openxmlformats.org/officeDocument/2006/relationships/hyperlink" Target="mailto:philip.ngugi@little.afr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DC14-8850-46F4-A64B-E4A395915522}">
  <dimension ref="A1:K49"/>
  <sheetViews>
    <sheetView zoomScale="90" zoomScaleNormal="90" workbookViewId="0">
      <selection activeCell="C11" sqref="C11"/>
    </sheetView>
  </sheetViews>
  <sheetFormatPr defaultRowHeight="14.5" x14ac:dyDescent="0.35"/>
  <cols>
    <col min="1" max="1" width="10.08984375" bestFit="1" customWidth="1"/>
    <col min="2" max="2" width="8.90625" bestFit="1" customWidth="1"/>
    <col min="3" max="3" width="24.90625" bestFit="1" customWidth="1"/>
    <col min="4" max="4" width="28" bestFit="1" customWidth="1"/>
    <col min="5" max="5" width="9.1796875" customWidth="1"/>
    <col min="6" max="6" width="18.26953125" bestFit="1" customWidth="1"/>
    <col min="7" max="7" width="24.54296875" bestFit="1" customWidth="1"/>
    <col min="8" max="8" width="27.36328125" bestFit="1" customWidth="1"/>
    <col min="9" max="9" width="21.6328125" bestFit="1" customWidth="1"/>
    <col min="10" max="10" width="19.7265625" customWidth="1"/>
    <col min="11" max="11" width="14.453125" customWidth="1"/>
    <col min="12" max="12" width="11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 x14ac:dyDescent="0.35">
      <c r="A2" t="s">
        <v>11</v>
      </c>
      <c r="B2" s="2" t="s">
        <v>55</v>
      </c>
      <c r="C2" s="1">
        <v>74000</v>
      </c>
      <c r="D2" s="1">
        <v>1407940</v>
      </c>
      <c r="E2">
        <v>0</v>
      </c>
      <c r="F2" s="1">
        <f>SUM(C2:E2)</f>
        <v>1481940</v>
      </c>
      <c r="G2" s="1">
        <v>0</v>
      </c>
      <c r="H2" s="1">
        <v>0</v>
      </c>
      <c r="I2" s="1">
        <v>0</v>
      </c>
      <c r="J2" s="1">
        <f>SUM(G2:I2)</f>
        <v>0</v>
      </c>
      <c r="K2" s="1">
        <v>3926734.4</v>
      </c>
    </row>
    <row r="3" spans="1:11" x14ac:dyDescent="0.35">
      <c r="A3" t="s">
        <v>12</v>
      </c>
      <c r="B3" s="2" t="s">
        <v>55</v>
      </c>
      <c r="C3" s="1">
        <v>153000</v>
      </c>
      <c r="D3" s="1">
        <v>2164260</v>
      </c>
      <c r="E3">
        <v>0</v>
      </c>
      <c r="F3" s="1">
        <f t="shared" ref="F3:F13" si="0">SUM(C3:E3)</f>
        <v>2317260</v>
      </c>
      <c r="G3" s="1">
        <v>0</v>
      </c>
      <c r="H3" s="1">
        <v>0</v>
      </c>
      <c r="I3" s="1">
        <v>0</v>
      </c>
      <c r="J3" s="1">
        <f t="shared" ref="J3:J25" si="1">SUM(G3:I3)</f>
        <v>0</v>
      </c>
      <c r="K3" s="1">
        <v>5210248</v>
      </c>
    </row>
    <row r="4" spans="1:11" x14ac:dyDescent="0.35">
      <c r="A4" t="s">
        <v>13</v>
      </c>
      <c r="B4" s="2" t="s">
        <v>55</v>
      </c>
      <c r="C4" s="1">
        <v>959104</v>
      </c>
      <c r="D4" s="1">
        <v>1608000</v>
      </c>
      <c r="E4">
        <v>0</v>
      </c>
      <c r="F4" s="1">
        <f t="shared" si="0"/>
        <v>2567104</v>
      </c>
      <c r="G4" s="1">
        <v>0</v>
      </c>
      <c r="H4" s="1">
        <v>0</v>
      </c>
      <c r="I4" s="1">
        <v>0</v>
      </c>
      <c r="J4" s="1">
        <f t="shared" si="1"/>
        <v>0</v>
      </c>
      <c r="K4" s="1">
        <v>7163265.2000000002</v>
      </c>
    </row>
    <row r="5" spans="1:11" x14ac:dyDescent="0.35">
      <c r="A5" t="s">
        <v>14</v>
      </c>
      <c r="B5" s="2" t="s">
        <v>55</v>
      </c>
      <c r="C5" s="1">
        <v>289720</v>
      </c>
      <c r="D5" s="1">
        <v>3945530</v>
      </c>
      <c r="E5">
        <v>0</v>
      </c>
      <c r="F5" s="1">
        <f t="shared" si="0"/>
        <v>4235250</v>
      </c>
      <c r="G5" s="1">
        <v>0</v>
      </c>
      <c r="H5" s="1">
        <v>0</v>
      </c>
      <c r="I5" s="1">
        <v>0</v>
      </c>
      <c r="J5" s="1">
        <f t="shared" si="1"/>
        <v>0</v>
      </c>
      <c r="K5" s="1">
        <v>5999634.4000000004</v>
      </c>
    </row>
    <row r="6" spans="1:11" x14ac:dyDescent="0.35">
      <c r="A6" t="s">
        <v>15</v>
      </c>
      <c r="B6" s="2" t="s">
        <v>55</v>
      </c>
      <c r="C6" s="1">
        <v>132240</v>
      </c>
      <c r="D6" s="1">
        <v>3802408</v>
      </c>
      <c r="E6">
        <v>0</v>
      </c>
      <c r="F6" s="1">
        <f t="shared" si="0"/>
        <v>3934648</v>
      </c>
      <c r="G6" s="1">
        <v>0</v>
      </c>
      <c r="H6" s="1">
        <v>0</v>
      </c>
      <c r="I6" s="1">
        <v>0</v>
      </c>
      <c r="J6" s="1">
        <f t="shared" si="1"/>
        <v>0</v>
      </c>
      <c r="K6" s="1">
        <v>6678860.4000000004</v>
      </c>
    </row>
    <row r="7" spans="1:11" x14ac:dyDescent="0.35">
      <c r="A7" t="s">
        <v>16</v>
      </c>
      <c r="B7" s="2" t="s">
        <v>55</v>
      </c>
      <c r="C7" s="1">
        <v>296000</v>
      </c>
      <c r="D7" s="1">
        <v>4686580</v>
      </c>
      <c r="E7">
        <v>0</v>
      </c>
      <c r="F7" s="1">
        <f t="shared" si="0"/>
        <v>4982580</v>
      </c>
      <c r="G7" s="1">
        <v>0</v>
      </c>
      <c r="H7" s="1">
        <v>0</v>
      </c>
      <c r="I7" s="1">
        <v>0</v>
      </c>
      <c r="J7" s="1">
        <f t="shared" si="1"/>
        <v>0</v>
      </c>
      <c r="K7" s="1">
        <v>7371486.4000000004</v>
      </c>
    </row>
    <row r="8" spans="1:11" x14ac:dyDescent="0.35">
      <c r="A8" t="s">
        <v>17</v>
      </c>
      <c r="B8" s="2" t="s">
        <v>55</v>
      </c>
      <c r="C8" s="1">
        <v>260000</v>
      </c>
      <c r="D8" s="1">
        <v>4550372</v>
      </c>
      <c r="E8">
        <v>0</v>
      </c>
      <c r="F8" s="1">
        <f t="shared" si="0"/>
        <v>4810372</v>
      </c>
      <c r="G8" s="1">
        <v>0</v>
      </c>
      <c r="H8" s="1">
        <v>0</v>
      </c>
      <c r="I8" s="1">
        <v>0</v>
      </c>
      <c r="J8" s="1">
        <f t="shared" si="1"/>
        <v>0</v>
      </c>
      <c r="K8" s="1">
        <v>7698268.7999999998</v>
      </c>
    </row>
    <row r="9" spans="1:11" x14ac:dyDescent="0.35">
      <c r="A9" t="s">
        <v>18</v>
      </c>
      <c r="B9" s="2" t="s">
        <v>55</v>
      </c>
      <c r="C9" s="1">
        <v>175000</v>
      </c>
      <c r="D9" s="1">
        <v>4671860</v>
      </c>
      <c r="E9">
        <v>0</v>
      </c>
      <c r="F9" s="1">
        <f t="shared" si="0"/>
        <v>4846860</v>
      </c>
      <c r="G9" s="1">
        <v>0</v>
      </c>
      <c r="H9" s="1">
        <v>0</v>
      </c>
      <c r="I9" s="1">
        <v>0</v>
      </c>
      <c r="J9" s="1">
        <f t="shared" si="1"/>
        <v>0</v>
      </c>
      <c r="K9" s="1">
        <v>8194066.7999999998</v>
      </c>
    </row>
    <row r="10" spans="1:11" x14ac:dyDescent="0.35">
      <c r="A10" t="s">
        <v>19</v>
      </c>
      <c r="B10" s="2" t="s">
        <v>55</v>
      </c>
      <c r="C10" s="1">
        <v>377000</v>
      </c>
      <c r="D10" s="1">
        <v>5628700</v>
      </c>
      <c r="E10">
        <v>0</v>
      </c>
      <c r="F10" s="1">
        <f t="shared" si="0"/>
        <v>6005700</v>
      </c>
      <c r="G10" s="1">
        <v>0</v>
      </c>
      <c r="H10" s="1">
        <v>0</v>
      </c>
      <c r="I10" s="1">
        <v>0</v>
      </c>
      <c r="J10" s="1">
        <f t="shared" si="1"/>
        <v>0</v>
      </c>
      <c r="K10" s="1">
        <v>9413335.5999999996</v>
      </c>
    </row>
    <row r="11" spans="1:11" x14ac:dyDescent="0.35">
      <c r="A11" t="s">
        <v>20</v>
      </c>
      <c r="B11" s="2" t="s">
        <v>55</v>
      </c>
      <c r="C11" s="1">
        <v>661200</v>
      </c>
      <c r="D11" s="1">
        <v>5549240</v>
      </c>
      <c r="E11">
        <v>0</v>
      </c>
      <c r="F11" s="1">
        <f t="shared" si="0"/>
        <v>6210440</v>
      </c>
      <c r="G11" s="1">
        <v>0</v>
      </c>
      <c r="H11" s="1">
        <v>0</v>
      </c>
      <c r="I11" s="1">
        <v>0</v>
      </c>
      <c r="J11" s="1">
        <f t="shared" si="1"/>
        <v>0</v>
      </c>
      <c r="K11" s="1">
        <v>10393236.800000001</v>
      </c>
    </row>
    <row r="12" spans="1:11" x14ac:dyDescent="0.35">
      <c r="A12" t="s">
        <v>21</v>
      </c>
      <c r="B12" s="2" t="s">
        <v>55</v>
      </c>
      <c r="C12" s="1">
        <v>419600</v>
      </c>
      <c r="D12" s="1">
        <v>6803028</v>
      </c>
      <c r="E12">
        <v>0</v>
      </c>
      <c r="F12" s="1">
        <f t="shared" si="0"/>
        <v>7222628</v>
      </c>
      <c r="G12" s="1">
        <v>0</v>
      </c>
      <c r="H12" s="1">
        <v>0</v>
      </c>
      <c r="I12" s="1">
        <v>0</v>
      </c>
      <c r="J12" s="1">
        <f t="shared" si="1"/>
        <v>0</v>
      </c>
      <c r="K12" s="1">
        <v>13435880.4</v>
      </c>
    </row>
    <row r="13" spans="1:11" x14ac:dyDescent="0.35">
      <c r="A13" t="s">
        <v>22</v>
      </c>
      <c r="B13" s="2" t="s">
        <v>55</v>
      </c>
      <c r="C13" s="1">
        <v>604360</v>
      </c>
      <c r="D13" s="1">
        <v>5194168</v>
      </c>
      <c r="E13">
        <v>0</v>
      </c>
      <c r="F13" s="1">
        <f t="shared" si="0"/>
        <v>5798528</v>
      </c>
      <c r="G13" s="1">
        <v>0</v>
      </c>
      <c r="H13" s="1">
        <v>0</v>
      </c>
      <c r="I13" s="1">
        <v>0</v>
      </c>
      <c r="J13" s="1">
        <f t="shared" si="1"/>
        <v>0</v>
      </c>
      <c r="K13" s="1">
        <v>11920760.800000001</v>
      </c>
    </row>
    <row r="14" spans="1:11" x14ac:dyDescent="0.35">
      <c r="A14" t="s">
        <v>11</v>
      </c>
      <c r="B14" s="2" t="s">
        <v>56</v>
      </c>
      <c r="C14" s="1">
        <v>40500</v>
      </c>
      <c r="D14" s="1">
        <v>1452900</v>
      </c>
      <c r="E14">
        <v>0</v>
      </c>
      <c r="F14" s="1">
        <f>SUM(C14:E14)</f>
        <v>1493400</v>
      </c>
      <c r="G14" s="1">
        <v>0</v>
      </c>
      <c r="H14" s="1">
        <v>0</v>
      </c>
      <c r="I14" s="1">
        <v>0</v>
      </c>
      <c r="J14" s="1">
        <f t="shared" si="1"/>
        <v>0</v>
      </c>
      <c r="K14" s="1">
        <v>3926734.4</v>
      </c>
    </row>
    <row r="15" spans="1:11" x14ac:dyDescent="0.35">
      <c r="A15" t="s">
        <v>12</v>
      </c>
      <c r="B15" s="2" t="s">
        <v>56</v>
      </c>
      <c r="C15" s="1">
        <v>238500</v>
      </c>
      <c r="D15" s="1">
        <v>1972200</v>
      </c>
      <c r="E15">
        <v>0</v>
      </c>
      <c r="F15" s="1">
        <f t="shared" ref="F15:F25" si="2">SUM(C15:E15)</f>
        <v>2210700</v>
      </c>
      <c r="G15" s="1">
        <v>0</v>
      </c>
      <c r="H15" s="1">
        <v>0</v>
      </c>
      <c r="I15" s="1">
        <v>0</v>
      </c>
      <c r="J15" s="1">
        <f t="shared" si="1"/>
        <v>0</v>
      </c>
      <c r="K15" s="1">
        <v>5210248</v>
      </c>
    </row>
    <row r="16" spans="1:11" x14ac:dyDescent="0.35">
      <c r="A16" t="s">
        <v>13</v>
      </c>
      <c r="B16" s="2" t="s">
        <v>56</v>
      </c>
      <c r="C16" s="1">
        <v>713600</v>
      </c>
      <c r="D16" s="1">
        <v>2983700</v>
      </c>
      <c r="E16">
        <v>0</v>
      </c>
      <c r="F16" s="1">
        <f t="shared" si="2"/>
        <v>3697300</v>
      </c>
      <c r="G16" s="1">
        <v>0</v>
      </c>
      <c r="H16" s="1">
        <v>0</v>
      </c>
      <c r="I16" s="1">
        <v>0</v>
      </c>
      <c r="J16" s="1">
        <f t="shared" si="1"/>
        <v>0</v>
      </c>
      <c r="K16" s="1">
        <v>7163265.2000000002</v>
      </c>
    </row>
    <row r="17" spans="1:11" x14ac:dyDescent="0.35">
      <c r="A17" t="s">
        <v>14</v>
      </c>
      <c r="B17" s="2" t="s">
        <v>56</v>
      </c>
      <c r="C17" s="1">
        <v>206080</v>
      </c>
      <c r="D17" s="1">
        <v>3337237</v>
      </c>
      <c r="E17">
        <v>0</v>
      </c>
      <c r="F17" s="1">
        <f t="shared" si="2"/>
        <v>3543317</v>
      </c>
      <c r="G17" s="1">
        <v>0</v>
      </c>
      <c r="H17" s="1">
        <v>0</v>
      </c>
      <c r="I17" s="1">
        <v>0</v>
      </c>
      <c r="J17" s="1">
        <f t="shared" si="1"/>
        <v>0</v>
      </c>
      <c r="K17" s="1">
        <v>5999634.4000000004</v>
      </c>
    </row>
    <row r="18" spans="1:11" x14ac:dyDescent="0.35">
      <c r="A18" t="s">
        <v>15</v>
      </c>
      <c r="B18" s="2" t="s">
        <v>56</v>
      </c>
      <c r="C18" s="1">
        <v>440800</v>
      </c>
      <c r="D18" s="1">
        <v>4208307</v>
      </c>
      <c r="E18">
        <v>0</v>
      </c>
      <c r="F18" s="1">
        <f t="shared" si="2"/>
        <v>4649107</v>
      </c>
      <c r="G18" s="1">
        <v>0</v>
      </c>
      <c r="H18" s="1">
        <v>0</v>
      </c>
      <c r="I18" s="1">
        <v>0</v>
      </c>
      <c r="J18" s="1">
        <f t="shared" si="1"/>
        <v>0</v>
      </c>
      <c r="K18" s="1">
        <v>6678860.4000000004</v>
      </c>
    </row>
    <row r="19" spans="1:11" x14ac:dyDescent="0.35">
      <c r="A19" t="s">
        <v>16</v>
      </c>
      <c r="B19" s="2" t="s">
        <v>56</v>
      </c>
      <c r="C19" s="1">
        <v>255682</v>
      </c>
      <c r="D19" s="1">
        <v>4127866</v>
      </c>
      <c r="E19">
        <v>0</v>
      </c>
      <c r="F19" s="1">
        <f t="shared" si="2"/>
        <v>4383548</v>
      </c>
      <c r="G19" s="1">
        <v>0</v>
      </c>
      <c r="H19" s="1">
        <v>0</v>
      </c>
      <c r="I19" s="1">
        <v>0</v>
      </c>
      <c r="J19" s="1">
        <f t="shared" si="1"/>
        <v>0</v>
      </c>
      <c r="K19" s="1">
        <v>7371486.4000000004</v>
      </c>
    </row>
    <row r="20" spans="1:11" x14ac:dyDescent="0.35">
      <c r="A20" t="s">
        <v>17</v>
      </c>
      <c r="B20" s="2" t="s">
        <v>56</v>
      </c>
      <c r="C20" s="1">
        <v>546000</v>
      </c>
      <c r="D20" s="1">
        <v>3817253</v>
      </c>
      <c r="E20">
        <v>0</v>
      </c>
      <c r="F20" s="1">
        <f t="shared" si="2"/>
        <v>4363253</v>
      </c>
      <c r="G20" s="1">
        <v>0</v>
      </c>
      <c r="H20" s="1">
        <v>0</v>
      </c>
      <c r="I20" s="1">
        <v>0</v>
      </c>
      <c r="J20" s="1">
        <f t="shared" si="1"/>
        <v>0</v>
      </c>
      <c r="K20" s="1">
        <v>7698268.7999999998</v>
      </c>
    </row>
    <row r="21" spans="1:11" x14ac:dyDescent="0.35">
      <c r="A21" t="s">
        <v>18</v>
      </c>
      <c r="B21" s="2" t="s">
        <v>56</v>
      </c>
      <c r="C21" s="1">
        <v>738400</v>
      </c>
      <c r="D21" s="1">
        <v>3753908</v>
      </c>
      <c r="E21">
        <v>0</v>
      </c>
      <c r="F21" s="1">
        <f t="shared" si="2"/>
        <v>4492308</v>
      </c>
      <c r="G21" s="1">
        <v>0</v>
      </c>
      <c r="H21" s="1">
        <v>0</v>
      </c>
      <c r="I21" s="1">
        <v>0</v>
      </c>
      <c r="J21" s="1">
        <f t="shared" si="1"/>
        <v>0</v>
      </c>
      <c r="K21" s="1">
        <v>8194066.7999999998</v>
      </c>
    </row>
    <row r="22" spans="1:11" x14ac:dyDescent="0.35">
      <c r="A22" t="s">
        <v>19</v>
      </c>
      <c r="B22" s="2" t="s">
        <v>56</v>
      </c>
      <c r="C22" s="1">
        <v>1007460</v>
      </c>
      <c r="D22" s="1">
        <v>4231224</v>
      </c>
      <c r="E22">
        <v>0</v>
      </c>
      <c r="F22" s="1">
        <f t="shared" si="2"/>
        <v>5238684</v>
      </c>
      <c r="G22" s="1">
        <v>0</v>
      </c>
      <c r="H22" s="1">
        <v>0</v>
      </c>
      <c r="I22" s="1">
        <v>0</v>
      </c>
      <c r="J22" s="1">
        <f t="shared" si="1"/>
        <v>0</v>
      </c>
      <c r="K22" s="1">
        <v>9413335.5999999996</v>
      </c>
    </row>
    <row r="23" spans="1:11" x14ac:dyDescent="0.35">
      <c r="A23" t="s">
        <v>20</v>
      </c>
      <c r="B23" s="2" t="s">
        <v>56</v>
      </c>
      <c r="C23" s="1">
        <v>809380</v>
      </c>
      <c r="D23" s="1">
        <v>5457540</v>
      </c>
      <c r="E23">
        <v>0</v>
      </c>
      <c r="F23" s="1">
        <f t="shared" si="2"/>
        <v>6266920</v>
      </c>
      <c r="G23" s="1">
        <v>0</v>
      </c>
      <c r="H23" s="1">
        <v>0</v>
      </c>
      <c r="I23" s="1">
        <v>0</v>
      </c>
      <c r="J23" s="1">
        <f t="shared" si="1"/>
        <v>0</v>
      </c>
      <c r="K23" s="1">
        <v>10393236.800000001</v>
      </c>
    </row>
    <row r="24" spans="1:11" x14ac:dyDescent="0.35">
      <c r="A24" t="s">
        <v>21</v>
      </c>
      <c r="B24" s="2" t="s">
        <v>56</v>
      </c>
      <c r="C24" s="1">
        <v>1716000</v>
      </c>
      <c r="D24" s="1">
        <v>4924800</v>
      </c>
      <c r="E24">
        <v>0</v>
      </c>
      <c r="F24" s="1">
        <f t="shared" si="2"/>
        <v>6640800</v>
      </c>
      <c r="G24" s="1">
        <v>0</v>
      </c>
      <c r="H24" s="1">
        <v>0</v>
      </c>
      <c r="I24" s="1">
        <v>0</v>
      </c>
      <c r="J24" s="1">
        <f t="shared" si="1"/>
        <v>0</v>
      </c>
      <c r="K24" s="1">
        <v>13435880.4</v>
      </c>
    </row>
    <row r="25" spans="1:11" x14ac:dyDescent="0.35">
      <c r="A25" t="s">
        <v>22</v>
      </c>
      <c r="B25" s="2" t="s">
        <v>56</v>
      </c>
      <c r="C25" s="1">
        <v>999432</v>
      </c>
      <c r="D25" s="1">
        <v>3411140</v>
      </c>
      <c r="E25">
        <v>0</v>
      </c>
      <c r="F25" s="1">
        <f t="shared" si="2"/>
        <v>4410572</v>
      </c>
      <c r="G25" s="1">
        <v>0</v>
      </c>
      <c r="H25" s="1">
        <v>0</v>
      </c>
      <c r="I25" s="1">
        <v>0</v>
      </c>
      <c r="J25" s="1">
        <f t="shared" si="1"/>
        <v>0</v>
      </c>
      <c r="K25" s="1">
        <v>11920760.800000001</v>
      </c>
    </row>
    <row r="26" spans="1:11" x14ac:dyDescent="0.35">
      <c r="A26" t="s">
        <v>11</v>
      </c>
      <c r="B26" s="2" t="s">
        <v>57</v>
      </c>
      <c r="C26" s="1">
        <v>0</v>
      </c>
      <c r="D26" s="1">
        <v>0</v>
      </c>
      <c r="E26">
        <v>0</v>
      </c>
      <c r="F26" s="1">
        <f>SUM(C26:E26)</f>
        <v>0</v>
      </c>
      <c r="G26" s="1">
        <v>0</v>
      </c>
      <c r="H26" s="1">
        <v>0</v>
      </c>
      <c r="I26" s="1">
        <v>0</v>
      </c>
      <c r="J26" s="1">
        <v>0</v>
      </c>
      <c r="K26" s="1">
        <v>981683.60000000009</v>
      </c>
    </row>
    <row r="27" spans="1:11" x14ac:dyDescent="0.35">
      <c r="A27" t="s">
        <v>12</v>
      </c>
      <c r="B27" s="2" t="s">
        <v>57</v>
      </c>
      <c r="C27" s="1">
        <v>0</v>
      </c>
      <c r="D27" s="1">
        <v>0</v>
      </c>
      <c r="E27">
        <v>0</v>
      </c>
      <c r="F27" s="1">
        <f t="shared" ref="F27:F37" si="3">SUM(C27:E27)</f>
        <v>0</v>
      </c>
      <c r="G27" s="1">
        <v>0</v>
      </c>
      <c r="H27" s="1">
        <v>0</v>
      </c>
      <c r="I27" s="1">
        <v>0</v>
      </c>
      <c r="J27" s="1">
        <v>0</v>
      </c>
      <c r="K27" s="1">
        <v>1302562</v>
      </c>
    </row>
    <row r="28" spans="1:11" x14ac:dyDescent="0.35">
      <c r="A28" t="s">
        <v>13</v>
      </c>
      <c r="B28" s="2" t="s">
        <v>57</v>
      </c>
      <c r="C28" s="1">
        <v>0</v>
      </c>
      <c r="D28" s="1">
        <v>0</v>
      </c>
      <c r="E28">
        <v>0</v>
      </c>
      <c r="F28" s="1">
        <f t="shared" si="3"/>
        <v>0</v>
      </c>
      <c r="G28" s="1">
        <v>0</v>
      </c>
      <c r="H28" s="1">
        <v>0</v>
      </c>
      <c r="I28" s="1">
        <v>0</v>
      </c>
      <c r="J28" s="1">
        <f t="shared" ref="J28:J49" si="4">SUM(G28:I28)</f>
        <v>0</v>
      </c>
      <c r="K28" s="1">
        <v>1790816.3</v>
      </c>
    </row>
    <row r="29" spans="1:11" x14ac:dyDescent="0.35">
      <c r="A29" t="s">
        <v>14</v>
      </c>
      <c r="B29" s="2" t="s">
        <v>57</v>
      </c>
      <c r="C29" s="1">
        <v>0</v>
      </c>
      <c r="D29" s="1">
        <v>0</v>
      </c>
      <c r="E29">
        <v>0</v>
      </c>
      <c r="F29" s="1">
        <f t="shared" si="3"/>
        <v>0</v>
      </c>
      <c r="G29" s="1">
        <v>0</v>
      </c>
      <c r="H29" s="1">
        <v>0</v>
      </c>
      <c r="I29" s="1">
        <v>0</v>
      </c>
      <c r="J29" s="1">
        <f t="shared" si="4"/>
        <v>0</v>
      </c>
      <c r="K29" s="1">
        <v>1499908.6</v>
      </c>
    </row>
    <row r="30" spans="1:11" x14ac:dyDescent="0.35">
      <c r="A30" t="s">
        <v>15</v>
      </c>
      <c r="B30" s="2" t="s">
        <v>57</v>
      </c>
      <c r="C30" s="1">
        <v>0</v>
      </c>
      <c r="D30" s="1">
        <v>0</v>
      </c>
      <c r="E30">
        <v>0</v>
      </c>
      <c r="F30" s="1">
        <f t="shared" si="3"/>
        <v>0</v>
      </c>
      <c r="G30" s="1">
        <v>0</v>
      </c>
      <c r="H30" s="1">
        <v>0</v>
      </c>
      <c r="I30" s="1">
        <v>0</v>
      </c>
      <c r="J30" s="1">
        <f t="shared" si="4"/>
        <v>0</v>
      </c>
      <c r="K30" s="1">
        <v>1669715.1</v>
      </c>
    </row>
    <row r="31" spans="1:11" x14ac:dyDescent="0.35">
      <c r="A31" t="s">
        <v>16</v>
      </c>
      <c r="B31" s="2" t="s">
        <v>57</v>
      </c>
      <c r="C31" s="1">
        <v>0</v>
      </c>
      <c r="D31" s="1">
        <v>0</v>
      </c>
      <c r="E31">
        <v>0</v>
      </c>
      <c r="F31" s="1">
        <f t="shared" si="3"/>
        <v>0</v>
      </c>
      <c r="G31" s="1">
        <v>0</v>
      </c>
      <c r="H31" s="1">
        <v>0</v>
      </c>
      <c r="I31" s="1">
        <v>0</v>
      </c>
      <c r="J31" s="1">
        <f t="shared" si="4"/>
        <v>0</v>
      </c>
      <c r="K31" s="1">
        <v>1842871.6</v>
      </c>
    </row>
    <row r="32" spans="1:11" x14ac:dyDescent="0.35">
      <c r="A32" t="s">
        <v>17</v>
      </c>
      <c r="B32" s="2" t="s">
        <v>57</v>
      </c>
      <c r="C32" s="1">
        <v>0</v>
      </c>
      <c r="D32" s="1">
        <v>0</v>
      </c>
      <c r="E32">
        <v>0</v>
      </c>
      <c r="F32" s="1">
        <f t="shared" si="3"/>
        <v>0</v>
      </c>
      <c r="G32" s="1">
        <v>0</v>
      </c>
      <c r="H32" s="1">
        <v>0</v>
      </c>
      <c r="I32" s="1">
        <v>0</v>
      </c>
      <c r="J32" s="1">
        <f t="shared" si="4"/>
        <v>0</v>
      </c>
      <c r="K32" s="1">
        <v>1924567.2</v>
      </c>
    </row>
    <row r="33" spans="1:11" x14ac:dyDescent="0.35">
      <c r="A33" t="s">
        <v>18</v>
      </c>
      <c r="B33" s="2" t="s">
        <v>57</v>
      </c>
      <c r="C33" s="1">
        <v>0</v>
      </c>
      <c r="D33" s="1">
        <v>0</v>
      </c>
      <c r="E33">
        <v>0</v>
      </c>
      <c r="F33" s="1">
        <f t="shared" si="3"/>
        <v>0</v>
      </c>
      <c r="G33" s="1">
        <v>0</v>
      </c>
      <c r="H33" s="1">
        <v>0</v>
      </c>
      <c r="I33" s="1">
        <v>0</v>
      </c>
      <c r="J33" s="1">
        <f t="shared" si="4"/>
        <v>0</v>
      </c>
      <c r="K33" s="1">
        <v>2048516.7</v>
      </c>
    </row>
    <row r="34" spans="1:11" x14ac:dyDescent="0.35">
      <c r="A34" t="s">
        <v>19</v>
      </c>
      <c r="B34" s="2" t="s">
        <v>57</v>
      </c>
      <c r="C34" s="1">
        <v>0</v>
      </c>
      <c r="D34" s="1">
        <v>0</v>
      </c>
      <c r="E34">
        <v>0</v>
      </c>
      <c r="F34" s="1">
        <f t="shared" si="3"/>
        <v>0</v>
      </c>
      <c r="G34" s="1">
        <v>0</v>
      </c>
      <c r="H34" s="1">
        <v>0</v>
      </c>
      <c r="I34" s="1">
        <v>0</v>
      </c>
      <c r="J34" s="1">
        <f t="shared" si="4"/>
        <v>0</v>
      </c>
      <c r="K34" s="1">
        <v>2353333.9</v>
      </c>
    </row>
    <row r="35" spans="1:11" x14ac:dyDescent="0.35">
      <c r="A35" t="s">
        <v>20</v>
      </c>
      <c r="B35" s="2" t="s">
        <v>57</v>
      </c>
      <c r="C35" s="1">
        <v>0</v>
      </c>
      <c r="D35" s="1">
        <v>0</v>
      </c>
      <c r="E35">
        <v>0</v>
      </c>
      <c r="F35" s="1">
        <f t="shared" si="3"/>
        <v>0</v>
      </c>
      <c r="G35" s="1">
        <v>0</v>
      </c>
      <c r="H35" s="1">
        <v>0</v>
      </c>
      <c r="I35" s="1">
        <v>0</v>
      </c>
      <c r="J35" s="1">
        <f t="shared" si="4"/>
        <v>0</v>
      </c>
      <c r="K35" s="1">
        <v>2598309.2000000002</v>
      </c>
    </row>
    <row r="36" spans="1:11" x14ac:dyDescent="0.35">
      <c r="A36" t="s">
        <v>21</v>
      </c>
      <c r="B36" s="2" t="s">
        <v>57</v>
      </c>
      <c r="C36" s="1">
        <v>0</v>
      </c>
      <c r="D36" s="1">
        <v>0</v>
      </c>
      <c r="E36">
        <v>0</v>
      </c>
      <c r="F36" s="1">
        <f t="shared" si="3"/>
        <v>0</v>
      </c>
      <c r="G36" s="1">
        <v>0</v>
      </c>
      <c r="H36" s="1">
        <v>0</v>
      </c>
      <c r="I36" s="1">
        <v>0</v>
      </c>
      <c r="J36" s="1">
        <f t="shared" si="4"/>
        <v>0</v>
      </c>
      <c r="K36" s="1">
        <v>3358970.1</v>
      </c>
    </row>
    <row r="37" spans="1:11" x14ac:dyDescent="0.35">
      <c r="A37" t="s">
        <v>22</v>
      </c>
      <c r="B37" s="2" t="s">
        <v>57</v>
      </c>
      <c r="C37" s="1">
        <v>0</v>
      </c>
      <c r="D37" s="1">
        <v>0</v>
      </c>
      <c r="E37">
        <v>0</v>
      </c>
      <c r="F37" s="1">
        <f t="shared" si="3"/>
        <v>0</v>
      </c>
      <c r="G37" s="1">
        <v>0</v>
      </c>
      <c r="H37" s="1">
        <v>0</v>
      </c>
      <c r="I37" s="1">
        <v>0</v>
      </c>
      <c r="J37" s="1">
        <f t="shared" si="4"/>
        <v>0</v>
      </c>
      <c r="K37" s="1">
        <v>2980190.2</v>
      </c>
    </row>
    <row r="38" spans="1:11" x14ac:dyDescent="0.35">
      <c r="A38" t="s">
        <v>11</v>
      </c>
      <c r="B38" s="2" t="s">
        <v>58</v>
      </c>
      <c r="C38" s="1">
        <v>0</v>
      </c>
      <c r="D38" s="1">
        <v>0</v>
      </c>
      <c r="E38">
        <v>0</v>
      </c>
      <c r="F38" s="1">
        <f>SUM(C38:E38)</f>
        <v>0</v>
      </c>
      <c r="G38" s="1">
        <v>0</v>
      </c>
      <c r="H38" s="1">
        <v>0</v>
      </c>
      <c r="I38" s="1">
        <v>0</v>
      </c>
      <c r="J38" s="1">
        <f t="shared" si="4"/>
        <v>0</v>
      </c>
      <c r="K38" s="1">
        <v>981683.60000000009</v>
      </c>
    </row>
    <row r="39" spans="1:11" x14ac:dyDescent="0.35">
      <c r="A39" t="s">
        <v>12</v>
      </c>
      <c r="B39" s="2" t="s">
        <v>58</v>
      </c>
      <c r="C39" s="1">
        <v>0</v>
      </c>
      <c r="D39" s="1">
        <v>0</v>
      </c>
      <c r="E39">
        <v>0</v>
      </c>
      <c r="F39" s="1">
        <f t="shared" ref="F39:F49" si="5">SUM(C39:E39)</f>
        <v>0</v>
      </c>
      <c r="G39" s="1">
        <v>0</v>
      </c>
      <c r="H39" s="1">
        <v>0</v>
      </c>
      <c r="I39" s="1">
        <v>0</v>
      </c>
      <c r="J39" s="1">
        <f t="shared" si="4"/>
        <v>0</v>
      </c>
      <c r="K39" s="1">
        <v>1302562</v>
      </c>
    </row>
    <row r="40" spans="1:11" x14ac:dyDescent="0.35">
      <c r="A40" t="s">
        <v>13</v>
      </c>
      <c r="B40" s="2" t="s">
        <v>58</v>
      </c>
      <c r="C40" s="1">
        <v>0</v>
      </c>
      <c r="D40" s="1">
        <v>0</v>
      </c>
      <c r="E40">
        <v>0</v>
      </c>
      <c r="F40" s="1">
        <f t="shared" si="5"/>
        <v>0</v>
      </c>
      <c r="G40" s="1">
        <v>0</v>
      </c>
      <c r="H40" s="1">
        <v>0</v>
      </c>
      <c r="I40" s="1">
        <v>0</v>
      </c>
      <c r="J40" s="1">
        <f t="shared" si="4"/>
        <v>0</v>
      </c>
      <c r="K40" s="1">
        <v>1790816.3</v>
      </c>
    </row>
    <row r="41" spans="1:11" x14ac:dyDescent="0.35">
      <c r="A41" t="s">
        <v>14</v>
      </c>
      <c r="B41" s="2" t="s">
        <v>58</v>
      </c>
      <c r="C41" s="1">
        <v>0</v>
      </c>
      <c r="D41" s="1">
        <v>0</v>
      </c>
      <c r="E41">
        <v>0</v>
      </c>
      <c r="F41" s="1">
        <f t="shared" si="5"/>
        <v>0</v>
      </c>
      <c r="G41" s="1">
        <v>0</v>
      </c>
      <c r="H41" s="1">
        <v>0</v>
      </c>
      <c r="I41" s="1">
        <v>0</v>
      </c>
      <c r="J41" s="1">
        <f t="shared" si="4"/>
        <v>0</v>
      </c>
      <c r="K41" s="1">
        <v>1499908.6</v>
      </c>
    </row>
    <row r="42" spans="1:11" x14ac:dyDescent="0.35">
      <c r="A42" t="s">
        <v>15</v>
      </c>
      <c r="B42" s="2" t="s">
        <v>58</v>
      </c>
      <c r="C42" s="1">
        <v>0</v>
      </c>
      <c r="D42" s="1">
        <v>0</v>
      </c>
      <c r="E42">
        <v>0</v>
      </c>
      <c r="F42" s="1">
        <f t="shared" si="5"/>
        <v>0</v>
      </c>
      <c r="G42" s="1">
        <v>0</v>
      </c>
      <c r="H42" s="1">
        <v>0</v>
      </c>
      <c r="I42" s="1">
        <v>0</v>
      </c>
      <c r="J42" s="1">
        <f t="shared" si="4"/>
        <v>0</v>
      </c>
      <c r="K42" s="1">
        <v>1669715.1</v>
      </c>
    </row>
    <row r="43" spans="1:11" x14ac:dyDescent="0.35">
      <c r="A43" t="s">
        <v>16</v>
      </c>
      <c r="B43" s="2" t="s">
        <v>58</v>
      </c>
      <c r="C43" s="1">
        <v>0</v>
      </c>
      <c r="D43" s="1">
        <v>0</v>
      </c>
      <c r="E43">
        <v>0</v>
      </c>
      <c r="F43" s="1">
        <f t="shared" si="5"/>
        <v>0</v>
      </c>
      <c r="G43" s="1">
        <v>0</v>
      </c>
      <c r="H43" s="1">
        <v>0</v>
      </c>
      <c r="I43" s="1">
        <v>0</v>
      </c>
      <c r="J43" s="1">
        <f t="shared" si="4"/>
        <v>0</v>
      </c>
      <c r="K43" s="1">
        <v>1842871.6</v>
      </c>
    </row>
    <row r="44" spans="1:11" x14ac:dyDescent="0.35">
      <c r="A44" t="s">
        <v>17</v>
      </c>
      <c r="B44" s="2" t="s">
        <v>58</v>
      </c>
      <c r="C44" s="1">
        <v>0</v>
      </c>
      <c r="D44" s="1">
        <v>0</v>
      </c>
      <c r="E44">
        <v>0</v>
      </c>
      <c r="F44" s="1">
        <f t="shared" si="5"/>
        <v>0</v>
      </c>
      <c r="G44" s="1">
        <v>0</v>
      </c>
      <c r="H44" s="1">
        <v>0</v>
      </c>
      <c r="I44" s="1">
        <v>0</v>
      </c>
      <c r="J44" s="1">
        <f t="shared" si="4"/>
        <v>0</v>
      </c>
      <c r="K44" s="1">
        <v>1924567.2</v>
      </c>
    </row>
    <row r="45" spans="1:11" x14ac:dyDescent="0.35">
      <c r="A45" t="s">
        <v>18</v>
      </c>
      <c r="B45" s="2" t="s">
        <v>58</v>
      </c>
      <c r="C45" s="1">
        <v>0</v>
      </c>
      <c r="D45" s="1">
        <v>0</v>
      </c>
      <c r="E45">
        <v>0</v>
      </c>
      <c r="F45" s="1">
        <f t="shared" si="5"/>
        <v>0</v>
      </c>
      <c r="G45" s="1">
        <v>0</v>
      </c>
      <c r="H45" s="1">
        <v>0</v>
      </c>
      <c r="I45" s="1">
        <v>0</v>
      </c>
      <c r="J45" s="1">
        <f t="shared" si="4"/>
        <v>0</v>
      </c>
      <c r="K45" s="1">
        <v>2048516.7</v>
      </c>
    </row>
    <row r="46" spans="1:11" x14ac:dyDescent="0.35">
      <c r="A46" t="s">
        <v>19</v>
      </c>
      <c r="B46" s="2" t="s">
        <v>58</v>
      </c>
      <c r="C46" s="1">
        <v>0</v>
      </c>
      <c r="D46" s="1">
        <v>0</v>
      </c>
      <c r="E46">
        <v>0</v>
      </c>
      <c r="F46" s="1">
        <f t="shared" si="5"/>
        <v>0</v>
      </c>
      <c r="G46" s="1">
        <v>0</v>
      </c>
      <c r="H46" s="1">
        <v>0</v>
      </c>
      <c r="I46" s="1">
        <v>0</v>
      </c>
      <c r="J46" s="1">
        <f t="shared" si="4"/>
        <v>0</v>
      </c>
      <c r="K46" s="1">
        <v>2353333.9</v>
      </c>
    </row>
    <row r="47" spans="1:11" x14ac:dyDescent="0.35">
      <c r="A47" t="s">
        <v>20</v>
      </c>
      <c r="B47" s="2" t="s">
        <v>58</v>
      </c>
      <c r="C47" s="1">
        <v>0</v>
      </c>
      <c r="D47" s="1">
        <v>0</v>
      </c>
      <c r="E47">
        <v>0</v>
      </c>
      <c r="F47" s="1">
        <f t="shared" si="5"/>
        <v>0</v>
      </c>
      <c r="G47" s="1">
        <v>0</v>
      </c>
      <c r="H47" s="1">
        <v>0</v>
      </c>
      <c r="I47" s="1">
        <v>0</v>
      </c>
      <c r="J47" s="1">
        <f t="shared" si="4"/>
        <v>0</v>
      </c>
      <c r="K47" s="1">
        <v>2598309.2000000002</v>
      </c>
    </row>
    <row r="48" spans="1:11" x14ac:dyDescent="0.35">
      <c r="A48" t="s">
        <v>21</v>
      </c>
      <c r="B48" s="2" t="s">
        <v>58</v>
      </c>
      <c r="C48" s="1">
        <v>0</v>
      </c>
      <c r="D48" s="1">
        <v>0</v>
      </c>
      <c r="E48">
        <v>0</v>
      </c>
      <c r="F48" s="1">
        <f t="shared" si="5"/>
        <v>0</v>
      </c>
      <c r="G48" s="1">
        <v>0</v>
      </c>
      <c r="H48" s="1">
        <v>0</v>
      </c>
      <c r="I48" s="1">
        <v>0</v>
      </c>
      <c r="J48" s="1">
        <f t="shared" si="4"/>
        <v>0</v>
      </c>
      <c r="K48" s="1">
        <v>3358970.1</v>
      </c>
    </row>
    <row r="49" spans="1:11" x14ac:dyDescent="0.35">
      <c r="A49" t="s">
        <v>22</v>
      </c>
      <c r="B49" s="2" t="s">
        <v>58</v>
      </c>
      <c r="C49" s="1">
        <v>0</v>
      </c>
      <c r="D49" s="1">
        <v>0</v>
      </c>
      <c r="E49">
        <v>0</v>
      </c>
      <c r="F49" s="1">
        <f t="shared" si="5"/>
        <v>0</v>
      </c>
      <c r="G49" s="1">
        <v>0</v>
      </c>
      <c r="H49" s="1">
        <v>0</v>
      </c>
      <c r="I49" s="1">
        <v>0</v>
      </c>
      <c r="J49" s="1">
        <f t="shared" si="4"/>
        <v>0</v>
      </c>
      <c r="K49" s="1">
        <v>2980190.2</v>
      </c>
    </row>
  </sheetData>
  <hyperlinks>
    <hyperlink ref="B14" r:id="rId1" display="wambui.ngugi@little.africa" xr:uid="{EE5B33D0-2D33-4418-A6B4-87F0BB790BA9}"/>
    <hyperlink ref="B2" r:id="rId2" display="philip.ngugi@little.africa" xr:uid="{923F5EFA-56B3-470B-AFBC-5C2C83627410}"/>
    <hyperlink ref="B38" r:id="rId3" display="wambui.ngugi@little.africa" xr:uid="{E8ADBEFE-3733-4302-B303-852E869BBB44}"/>
    <hyperlink ref="B26" r:id="rId4" display="philip.ngugi@little.africa" xr:uid="{D39852BD-0FC7-47EB-91E6-5FE81320B5D7}"/>
    <hyperlink ref="B3:B13" r:id="rId5" display="philip.ngugi@little.africa" xr:uid="{34DC602C-88B8-43E7-B957-7AD888964D85}"/>
    <hyperlink ref="B15:B25" r:id="rId6" display="wambui.ngugi@little.africa" xr:uid="{883C32A4-5728-46B6-8496-F7DC45C17D90}"/>
    <hyperlink ref="B27:B37" r:id="rId7" display="philip.ngugi@little.africa" xr:uid="{A0359569-3DB1-4900-9C70-A612C2A54B1D}"/>
    <hyperlink ref="B39:B49" r:id="rId8" display="wambui.ngugi@little.africa" xr:uid="{A2852EC9-B9FA-4BDC-B5CA-70280CC896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A0A7-3F8E-44AC-BD89-6855D5E39915}">
  <dimension ref="A1:I49"/>
  <sheetViews>
    <sheetView tabSelected="1" zoomScale="90" zoomScaleNormal="90" workbookViewId="0">
      <selection activeCell="E1" sqref="E1"/>
    </sheetView>
  </sheetViews>
  <sheetFormatPr defaultRowHeight="14.5" x14ac:dyDescent="0.35"/>
  <cols>
    <col min="1" max="1" width="10.81640625" customWidth="1"/>
    <col min="2" max="2" width="23.7265625" bestFit="1" customWidth="1"/>
    <col min="3" max="3" width="18.1796875" customWidth="1"/>
    <col min="4" max="4" width="14.81640625" customWidth="1"/>
    <col min="5" max="5" width="22" bestFit="1" customWidth="1"/>
    <col min="6" max="6" width="17.08984375" style="1" bestFit="1" customWidth="1"/>
    <col min="7" max="7" width="17.08984375" style="1" customWidth="1"/>
    <col min="8" max="8" width="17.7265625" style="1" bestFit="1" customWidth="1"/>
    <col min="9" max="9" width="12.453125" style="1" customWidth="1"/>
  </cols>
  <sheetData>
    <row r="1" spans="1:9" x14ac:dyDescent="0.35">
      <c r="A1" t="s">
        <v>0</v>
      </c>
      <c r="B1" t="s">
        <v>23</v>
      </c>
      <c r="C1" t="s">
        <v>70</v>
      </c>
      <c r="D1" t="s">
        <v>59</v>
      </c>
      <c r="E1" t="s">
        <v>60</v>
      </c>
      <c r="F1" s="1" t="s">
        <v>61</v>
      </c>
      <c r="G1" s="1" t="s">
        <v>62</v>
      </c>
      <c r="H1" s="1" t="s">
        <v>63</v>
      </c>
      <c r="I1" s="1" t="s">
        <v>24</v>
      </c>
    </row>
    <row r="2" spans="1:9" x14ac:dyDescent="0.35">
      <c r="A2" t="s">
        <v>11</v>
      </c>
      <c r="B2" t="s">
        <v>53</v>
      </c>
      <c r="C2" s="1">
        <v>345576</v>
      </c>
      <c r="D2" s="1">
        <v>860528</v>
      </c>
      <c r="E2" s="1">
        <v>0</v>
      </c>
      <c r="F2" s="1">
        <v>0</v>
      </c>
      <c r="G2" s="1">
        <v>0</v>
      </c>
      <c r="H2" s="1">
        <f>SUM(F2:G2)</f>
        <v>0</v>
      </c>
      <c r="I2" s="1">
        <v>975519</v>
      </c>
    </row>
    <row r="3" spans="1:9" x14ac:dyDescent="0.35">
      <c r="A3" t="s">
        <v>12</v>
      </c>
      <c r="B3" t="s">
        <v>53</v>
      </c>
      <c r="C3" s="1">
        <v>287400</v>
      </c>
      <c r="D3" s="1">
        <v>594300</v>
      </c>
      <c r="E3" s="1">
        <v>0</v>
      </c>
      <c r="F3" s="1">
        <v>2000000</v>
      </c>
      <c r="G3" s="1">
        <v>0</v>
      </c>
      <c r="H3" s="1">
        <f t="shared" ref="H3:H49" si="0">SUM(F3:G3)</f>
        <v>2000000</v>
      </c>
      <c r="I3" s="1">
        <v>383040</v>
      </c>
    </row>
    <row r="4" spans="1:9" x14ac:dyDescent="0.35">
      <c r="A4" t="s">
        <v>13</v>
      </c>
      <c r="B4" t="s">
        <v>53</v>
      </c>
      <c r="C4" s="1">
        <v>167040</v>
      </c>
      <c r="D4" s="1">
        <v>422436</v>
      </c>
      <c r="E4" s="1">
        <v>0</v>
      </c>
      <c r="F4" s="1">
        <v>0</v>
      </c>
      <c r="G4" s="1">
        <v>0</v>
      </c>
      <c r="H4" s="1">
        <f t="shared" si="0"/>
        <v>0</v>
      </c>
      <c r="I4" s="1">
        <v>732760</v>
      </c>
    </row>
    <row r="5" spans="1:9" x14ac:dyDescent="0.35">
      <c r="A5" t="s">
        <v>14</v>
      </c>
      <c r="B5" t="s">
        <v>53</v>
      </c>
      <c r="C5" s="1">
        <v>223654</v>
      </c>
      <c r="D5" s="1">
        <v>592882</v>
      </c>
      <c r="E5" s="1">
        <v>0</v>
      </c>
      <c r="F5" s="1">
        <v>0</v>
      </c>
      <c r="G5" s="1">
        <v>0</v>
      </c>
      <c r="H5" s="1">
        <f t="shared" si="0"/>
        <v>0</v>
      </c>
      <c r="I5" s="1">
        <v>584360</v>
      </c>
    </row>
    <row r="6" spans="1:9" x14ac:dyDescent="0.35">
      <c r="A6" t="s">
        <v>15</v>
      </c>
      <c r="B6" t="s">
        <v>53</v>
      </c>
      <c r="C6" s="1">
        <v>137808</v>
      </c>
      <c r="D6" s="1">
        <v>509962</v>
      </c>
      <c r="E6" s="1">
        <v>0</v>
      </c>
      <c r="F6" s="1">
        <v>0</v>
      </c>
      <c r="G6" s="1">
        <v>0</v>
      </c>
      <c r="H6" s="1">
        <f t="shared" si="0"/>
        <v>0</v>
      </c>
      <c r="I6" s="1">
        <v>436598</v>
      </c>
    </row>
    <row r="7" spans="1:9" x14ac:dyDescent="0.35">
      <c r="A7" t="s">
        <v>16</v>
      </c>
      <c r="B7" t="s">
        <v>53</v>
      </c>
      <c r="C7" s="1">
        <v>276000</v>
      </c>
      <c r="D7" s="1">
        <v>641748</v>
      </c>
      <c r="E7" s="1">
        <v>0</v>
      </c>
      <c r="F7" s="1">
        <v>0</v>
      </c>
      <c r="G7" s="1">
        <v>0</v>
      </c>
      <c r="H7" s="1">
        <f t="shared" si="0"/>
        <v>0</v>
      </c>
      <c r="I7" s="1">
        <v>223860</v>
      </c>
    </row>
    <row r="8" spans="1:9" x14ac:dyDescent="0.35">
      <c r="A8" t="s">
        <v>17</v>
      </c>
      <c r="B8" t="s">
        <v>53</v>
      </c>
      <c r="C8" s="1">
        <v>98600</v>
      </c>
      <c r="D8" s="1">
        <v>472600</v>
      </c>
      <c r="E8" s="1">
        <v>0</v>
      </c>
      <c r="F8" s="1">
        <v>0</v>
      </c>
      <c r="G8" s="1">
        <v>0</v>
      </c>
      <c r="H8" s="1">
        <f t="shared" si="0"/>
        <v>0</v>
      </c>
      <c r="I8" s="1">
        <v>693840</v>
      </c>
    </row>
    <row r="9" spans="1:9" x14ac:dyDescent="0.35">
      <c r="A9" t="s">
        <v>18</v>
      </c>
      <c r="B9" t="s">
        <v>53</v>
      </c>
      <c r="C9" s="1">
        <v>150000</v>
      </c>
      <c r="D9" s="1">
        <v>576360</v>
      </c>
      <c r="E9" s="1">
        <v>0</v>
      </c>
      <c r="F9" s="1">
        <v>0</v>
      </c>
      <c r="G9" s="1">
        <v>0</v>
      </c>
      <c r="H9" s="1">
        <f t="shared" si="0"/>
        <v>0</v>
      </c>
      <c r="I9" s="1">
        <v>281820</v>
      </c>
    </row>
    <row r="10" spans="1:9" x14ac:dyDescent="0.35">
      <c r="A10" t="s">
        <v>19</v>
      </c>
      <c r="B10" t="s">
        <v>53</v>
      </c>
      <c r="C10" s="1">
        <v>265920</v>
      </c>
      <c r="D10" s="1">
        <v>570274</v>
      </c>
      <c r="E10" s="1">
        <v>0</v>
      </c>
      <c r="F10" s="1">
        <v>0</v>
      </c>
      <c r="G10" s="1">
        <v>0</v>
      </c>
      <c r="H10" s="1">
        <f t="shared" si="0"/>
        <v>0</v>
      </c>
      <c r="I10" s="1">
        <v>740124</v>
      </c>
    </row>
    <row r="11" spans="1:9" x14ac:dyDescent="0.35">
      <c r="A11" t="s">
        <v>20</v>
      </c>
      <c r="B11" t="s">
        <v>53</v>
      </c>
      <c r="C11" s="1">
        <v>300000</v>
      </c>
      <c r="D11" s="1">
        <v>581184</v>
      </c>
      <c r="E11" s="1">
        <v>0</v>
      </c>
      <c r="F11" s="1">
        <v>0</v>
      </c>
      <c r="G11" s="1">
        <v>0</v>
      </c>
      <c r="H11" s="1">
        <f t="shared" si="0"/>
        <v>0</v>
      </c>
      <c r="I11" s="1">
        <v>410846</v>
      </c>
    </row>
    <row r="12" spans="1:9" x14ac:dyDescent="0.35">
      <c r="A12" t="s">
        <v>21</v>
      </c>
      <c r="B12" t="s">
        <v>53</v>
      </c>
      <c r="C12" s="1">
        <v>139200</v>
      </c>
      <c r="D12" s="1">
        <v>255502</v>
      </c>
      <c r="E12" s="1">
        <v>0</v>
      </c>
      <c r="F12" s="1">
        <v>0</v>
      </c>
      <c r="G12" s="1">
        <v>0</v>
      </c>
      <c r="H12" s="1">
        <f t="shared" si="0"/>
        <v>0</v>
      </c>
      <c r="I12" s="1">
        <v>667975</v>
      </c>
    </row>
    <row r="13" spans="1:9" x14ac:dyDescent="0.35">
      <c r="A13" t="s">
        <v>22</v>
      </c>
      <c r="B13" t="s">
        <v>53</v>
      </c>
      <c r="C13" s="1">
        <v>61260</v>
      </c>
      <c r="D13" s="1">
        <v>186540</v>
      </c>
      <c r="E13" s="1">
        <v>0</v>
      </c>
      <c r="F13" s="1">
        <v>0</v>
      </c>
      <c r="G13" s="1">
        <v>0</v>
      </c>
      <c r="H13" s="1">
        <f t="shared" si="0"/>
        <v>0</v>
      </c>
      <c r="I13" s="1">
        <v>287000</v>
      </c>
    </row>
    <row r="14" spans="1:9" x14ac:dyDescent="0.35">
      <c r="A14" t="s">
        <v>11</v>
      </c>
      <c r="B14" t="s">
        <v>25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f t="shared" si="0"/>
        <v>0</v>
      </c>
      <c r="I14" s="1">
        <v>200000</v>
      </c>
    </row>
    <row r="15" spans="1:9" x14ac:dyDescent="0.35">
      <c r="A15" t="s">
        <v>12</v>
      </c>
      <c r="B15" t="s">
        <v>25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f t="shared" si="0"/>
        <v>0</v>
      </c>
      <c r="I15" s="1">
        <v>200000</v>
      </c>
    </row>
    <row r="16" spans="1:9" x14ac:dyDescent="0.35">
      <c r="A16" t="s">
        <v>13</v>
      </c>
      <c r="B16" t="s">
        <v>25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f t="shared" si="0"/>
        <v>0</v>
      </c>
      <c r="I16" s="1">
        <v>200000</v>
      </c>
    </row>
    <row r="17" spans="1:9" x14ac:dyDescent="0.35">
      <c r="A17" t="s">
        <v>14</v>
      </c>
      <c r="B17" t="s">
        <v>25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f t="shared" si="0"/>
        <v>0</v>
      </c>
      <c r="I17" s="1">
        <v>300000</v>
      </c>
    </row>
    <row r="18" spans="1:9" x14ac:dyDescent="0.35">
      <c r="A18" t="s">
        <v>15</v>
      </c>
      <c r="B18" t="s">
        <v>25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f t="shared" si="0"/>
        <v>0</v>
      </c>
      <c r="I18" s="1">
        <v>300000</v>
      </c>
    </row>
    <row r="19" spans="1:9" x14ac:dyDescent="0.35">
      <c r="A19" t="s">
        <v>16</v>
      </c>
      <c r="B19" t="s">
        <v>25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f t="shared" si="0"/>
        <v>0</v>
      </c>
      <c r="I19" s="1">
        <v>300000</v>
      </c>
    </row>
    <row r="20" spans="1:9" x14ac:dyDescent="0.35">
      <c r="A20" t="s">
        <v>17</v>
      </c>
      <c r="B20" t="s">
        <v>25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f t="shared" si="0"/>
        <v>0</v>
      </c>
      <c r="I20" s="1">
        <v>400000</v>
      </c>
    </row>
    <row r="21" spans="1:9" x14ac:dyDescent="0.35">
      <c r="A21" t="s">
        <v>18</v>
      </c>
      <c r="B21" t="s">
        <v>25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f t="shared" si="0"/>
        <v>0</v>
      </c>
      <c r="I21" s="1">
        <v>400000</v>
      </c>
    </row>
    <row r="22" spans="1:9" x14ac:dyDescent="0.35">
      <c r="A22" t="s">
        <v>19</v>
      </c>
      <c r="B22" t="s">
        <v>25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f t="shared" si="0"/>
        <v>0</v>
      </c>
      <c r="I22" s="1">
        <v>500000</v>
      </c>
    </row>
    <row r="23" spans="1:9" x14ac:dyDescent="0.35">
      <c r="A23" t="s">
        <v>20</v>
      </c>
      <c r="B23" t="s">
        <v>25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f t="shared" si="0"/>
        <v>0</v>
      </c>
      <c r="I23" s="1">
        <v>600000</v>
      </c>
    </row>
    <row r="24" spans="1:9" x14ac:dyDescent="0.35">
      <c r="A24" t="s">
        <v>21</v>
      </c>
      <c r="B24" t="s">
        <v>25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f t="shared" si="0"/>
        <v>0</v>
      </c>
      <c r="I24" s="1">
        <v>600000</v>
      </c>
    </row>
    <row r="25" spans="1:9" x14ac:dyDescent="0.35">
      <c r="A25" t="s">
        <v>22</v>
      </c>
      <c r="B25" t="s">
        <v>25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f t="shared" si="0"/>
        <v>0</v>
      </c>
      <c r="I25" s="1">
        <v>200000</v>
      </c>
    </row>
    <row r="26" spans="1:9" x14ac:dyDescent="0.35">
      <c r="A26" t="s">
        <v>11</v>
      </c>
      <c r="B26" t="s">
        <v>26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f t="shared" si="0"/>
        <v>0</v>
      </c>
      <c r="I26" s="1">
        <v>0</v>
      </c>
    </row>
    <row r="27" spans="1:9" x14ac:dyDescent="0.35">
      <c r="A27" t="s">
        <v>12</v>
      </c>
      <c r="B27" t="s">
        <v>26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f t="shared" si="0"/>
        <v>0</v>
      </c>
      <c r="I27" s="1">
        <v>0</v>
      </c>
    </row>
    <row r="28" spans="1:9" x14ac:dyDescent="0.35">
      <c r="A28" t="s">
        <v>13</v>
      </c>
      <c r="B28" t="s">
        <v>26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f t="shared" si="0"/>
        <v>0</v>
      </c>
      <c r="I28" s="1">
        <v>0</v>
      </c>
    </row>
    <row r="29" spans="1:9" x14ac:dyDescent="0.35">
      <c r="A29" t="s">
        <v>14</v>
      </c>
      <c r="B29" t="s">
        <v>26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f t="shared" si="0"/>
        <v>0</v>
      </c>
      <c r="I29" s="1">
        <v>200000</v>
      </c>
    </row>
    <row r="30" spans="1:9" x14ac:dyDescent="0.35">
      <c r="A30" t="s">
        <v>15</v>
      </c>
      <c r="B30" t="s">
        <v>26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f t="shared" si="0"/>
        <v>0</v>
      </c>
      <c r="I30" s="1">
        <v>200000</v>
      </c>
    </row>
    <row r="31" spans="1:9" x14ac:dyDescent="0.35">
      <c r="A31" t="s">
        <v>16</v>
      </c>
      <c r="B31" t="s">
        <v>26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f t="shared" si="0"/>
        <v>0</v>
      </c>
      <c r="I31" s="1">
        <v>300000</v>
      </c>
    </row>
    <row r="32" spans="1:9" x14ac:dyDescent="0.35">
      <c r="A32" t="s">
        <v>17</v>
      </c>
      <c r="B32" t="s">
        <v>26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f t="shared" si="0"/>
        <v>0</v>
      </c>
      <c r="I32" s="1">
        <v>400000</v>
      </c>
    </row>
    <row r="33" spans="1:9" x14ac:dyDescent="0.35">
      <c r="A33" t="s">
        <v>18</v>
      </c>
      <c r="B33" t="s">
        <v>26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f t="shared" si="0"/>
        <v>0</v>
      </c>
      <c r="I33" s="1">
        <v>400000</v>
      </c>
    </row>
    <row r="34" spans="1:9" x14ac:dyDescent="0.35">
      <c r="A34" t="s">
        <v>19</v>
      </c>
      <c r="B34" t="s">
        <v>26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f t="shared" si="0"/>
        <v>0</v>
      </c>
      <c r="I34" s="1">
        <v>400000</v>
      </c>
    </row>
    <row r="35" spans="1:9" x14ac:dyDescent="0.35">
      <c r="A35" t="s">
        <v>20</v>
      </c>
      <c r="B35" t="s">
        <v>26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f t="shared" si="0"/>
        <v>0</v>
      </c>
      <c r="I35" s="1">
        <v>300000</v>
      </c>
    </row>
    <row r="36" spans="1:9" x14ac:dyDescent="0.35">
      <c r="A36" t="s">
        <v>21</v>
      </c>
      <c r="B36" t="s">
        <v>26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f t="shared" si="0"/>
        <v>0</v>
      </c>
      <c r="I36" s="1">
        <v>300000</v>
      </c>
    </row>
    <row r="37" spans="1:9" x14ac:dyDescent="0.35">
      <c r="A37" t="s">
        <v>22</v>
      </c>
      <c r="B37" t="s">
        <v>26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f t="shared" si="0"/>
        <v>0</v>
      </c>
      <c r="I37" s="1">
        <v>100000</v>
      </c>
    </row>
    <row r="38" spans="1:9" x14ac:dyDescent="0.35">
      <c r="A38" t="s">
        <v>11</v>
      </c>
      <c r="B38" t="s">
        <v>71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f t="shared" si="0"/>
        <v>0</v>
      </c>
      <c r="I38" s="1">
        <v>0</v>
      </c>
    </row>
    <row r="39" spans="1:9" x14ac:dyDescent="0.35">
      <c r="A39" t="s">
        <v>12</v>
      </c>
      <c r="B39" t="s">
        <v>71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f t="shared" si="0"/>
        <v>0</v>
      </c>
      <c r="I39" s="1">
        <v>0</v>
      </c>
    </row>
    <row r="40" spans="1:9" x14ac:dyDescent="0.35">
      <c r="A40" t="s">
        <v>13</v>
      </c>
      <c r="B40" t="s">
        <v>71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f t="shared" si="0"/>
        <v>0</v>
      </c>
      <c r="I40" s="1">
        <v>0</v>
      </c>
    </row>
    <row r="41" spans="1:9" x14ac:dyDescent="0.35">
      <c r="A41" t="s">
        <v>14</v>
      </c>
      <c r="B41" t="s">
        <v>71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f t="shared" si="0"/>
        <v>0</v>
      </c>
      <c r="I41" s="1">
        <v>205000</v>
      </c>
    </row>
    <row r="42" spans="1:9" x14ac:dyDescent="0.35">
      <c r="A42" t="s">
        <v>15</v>
      </c>
      <c r="B42" t="s">
        <v>71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f t="shared" si="0"/>
        <v>0</v>
      </c>
      <c r="I42" s="1">
        <v>250000</v>
      </c>
    </row>
    <row r="43" spans="1:9" x14ac:dyDescent="0.35">
      <c r="A43" t="s">
        <v>16</v>
      </c>
      <c r="B43" t="s">
        <v>71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f t="shared" si="0"/>
        <v>0</v>
      </c>
      <c r="I43" s="1">
        <v>285467</v>
      </c>
    </row>
    <row r="44" spans="1:9" x14ac:dyDescent="0.35">
      <c r="A44" t="s">
        <v>17</v>
      </c>
      <c r="B44" t="s">
        <v>71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f t="shared" si="0"/>
        <v>0</v>
      </c>
      <c r="I44" s="1">
        <v>307155</v>
      </c>
    </row>
    <row r="45" spans="1:9" x14ac:dyDescent="0.35">
      <c r="A45" t="s">
        <v>18</v>
      </c>
      <c r="B45" t="s">
        <v>71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f t="shared" si="0"/>
        <v>0</v>
      </c>
      <c r="I45" s="1">
        <v>320567</v>
      </c>
    </row>
    <row r="46" spans="1:9" x14ac:dyDescent="0.35">
      <c r="A46" t="s">
        <v>19</v>
      </c>
      <c r="B46" t="s">
        <v>71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f t="shared" si="0"/>
        <v>0</v>
      </c>
      <c r="I46" s="1">
        <v>333800</v>
      </c>
    </row>
    <row r="47" spans="1:9" x14ac:dyDescent="0.35">
      <c r="A47" t="s">
        <v>20</v>
      </c>
      <c r="B47" t="s">
        <v>71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f t="shared" si="0"/>
        <v>0</v>
      </c>
      <c r="I47" s="1">
        <v>387600</v>
      </c>
    </row>
    <row r="48" spans="1:9" x14ac:dyDescent="0.35">
      <c r="A48" t="s">
        <v>21</v>
      </c>
      <c r="B48" t="s">
        <v>71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f t="shared" si="0"/>
        <v>0</v>
      </c>
      <c r="I48" s="1">
        <v>410654</v>
      </c>
    </row>
    <row r="49" spans="1:9" x14ac:dyDescent="0.35">
      <c r="A49" t="s">
        <v>22</v>
      </c>
      <c r="B49" t="s">
        <v>71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f t="shared" si="0"/>
        <v>0</v>
      </c>
      <c r="I49" s="1">
        <v>324000</v>
      </c>
    </row>
  </sheetData>
  <phoneticPr fontId="2" type="noConversion"/>
  <pageMargins left="0.7" right="0.7" top="0.75" bottom="0.75" header="0.3" footer="0.3"/>
  <ignoredErrors>
    <ignoredError sqref="H2:H4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D2ADA-9FB2-40EF-83FD-021B3C637CF9}">
  <dimension ref="A1:G25"/>
  <sheetViews>
    <sheetView workbookViewId="0">
      <selection activeCell="C14" sqref="C14"/>
    </sheetView>
  </sheetViews>
  <sheetFormatPr defaultRowHeight="14.5" x14ac:dyDescent="0.35"/>
  <cols>
    <col min="1" max="1" width="12.36328125" bestFit="1" customWidth="1"/>
    <col min="2" max="2" width="18.6328125" bestFit="1" customWidth="1"/>
    <col min="3" max="3" width="21.1796875" bestFit="1" customWidth="1"/>
    <col min="4" max="4" width="17.08984375" bestFit="1" customWidth="1"/>
    <col min="5" max="5" width="12.08984375" bestFit="1" customWidth="1"/>
    <col min="6" max="6" width="18.1796875" bestFit="1" customWidth="1"/>
  </cols>
  <sheetData>
    <row r="1" spans="1:7" x14ac:dyDescent="0.35">
      <c r="A1" t="s">
        <v>28</v>
      </c>
      <c r="B1" t="s">
        <v>66</v>
      </c>
      <c r="C1" t="s">
        <v>67</v>
      </c>
      <c r="D1" t="s">
        <v>64</v>
      </c>
      <c r="E1" t="s">
        <v>68</v>
      </c>
      <c r="F1" t="s">
        <v>69</v>
      </c>
      <c r="G1" t="s">
        <v>65</v>
      </c>
    </row>
    <row r="2" spans="1:7" x14ac:dyDescent="0.35">
      <c r="A2" t="s">
        <v>27</v>
      </c>
      <c r="B2">
        <v>2</v>
      </c>
      <c r="C2">
        <v>0</v>
      </c>
      <c r="D2">
        <v>3</v>
      </c>
      <c r="E2">
        <v>1</v>
      </c>
      <c r="F2">
        <v>7</v>
      </c>
      <c r="G2">
        <v>4</v>
      </c>
    </row>
    <row r="3" spans="1:7" x14ac:dyDescent="0.35">
      <c r="A3" t="s">
        <v>29</v>
      </c>
      <c r="B3">
        <v>0</v>
      </c>
      <c r="C3">
        <v>1</v>
      </c>
      <c r="D3">
        <v>0</v>
      </c>
      <c r="E3">
        <v>4</v>
      </c>
      <c r="F3">
        <v>5</v>
      </c>
      <c r="G3">
        <v>1</v>
      </c>
    </row>
    <row r="4" spans="1:7" x14ac:dyDescent="0.3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t="s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t="s">
        <v>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t="s">
        <v>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t="s">
        <v>38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t="s">
        <v>40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t="s">
        <v>41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5">
      <c r="A16" t="s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t="s">
        <v>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47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t="s">
        <v>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49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5">
      <c r="A25" t="s">
        <v>51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B2E5-DDFA-4DC6-B41F-6EDF4B2ECA28}">
  <dimension ref="A1:G25"/>
  <sheetViews>
    <sheetView zoomScale="90" zoomScaleNormal="90" workbookViewId="0">
      <selection activeCell="C27" sqref="C27"/>
    </sheetView>
  </sheetViews>
  <sheetFormatPr defaultRowHeight="14.5" x14ac:dyDescent="0.35"/>
  <cols>
    <col min="1" max="1" width="12.54296875" bestFit="1" customWidth="1"/>
    <col min="2" max="2" width="19" bestFit="1" customWidth="1"/>
    <col min="3" max="3" width="21.54296875" bestFit="1" customWidth="1"/>
    <col min="4" max="4" width="20.6328125" bestFit="1" customWidth="1"/>
    <col min="5" max="5" width="12.26953125" bestFit="1" customWidth="1"/>
    <col min="6" max="6" width="18.54296875" bestFit="1" customWidth="1"/>
    <col min="7" max="7" width="14.26953125" bestFit="1" customWidth="1"/>
  </cols>
  <sheetData>
    <row r="1" spans="1:7" x14ac:dyDescent="0.35">
      <c r="A1" t="s">
        <v>28</v>
      </c>
      <c r="B1" t="s">
        <v>66</v>
      </c>
      <c r="C1" t="s">
        <v>67</v>
      </c>
      <c r="D1" t="s">
        <v>54</v>
      </c>
      <c r="E1" t="s">
        <v>68</v>
      </c>
      <c r="F1" t="s">
        <v>69</v>
      </c>
      <c r="G1" t="s">
        <v>52</v>
      </c>
    </row>
    <row r="2" spans="1:7" x14ac:dyDescent="0.35">
      <c r="A2" t="s">
        <v>27</v>
      </c>
      <c r="B2">
        <v>2</v>
      </c>
      <c r="C2">
        <v>0</v>
      </c>
      <c r="D2">
        <v>3</v>
      </c>
      <c r="E2">
        <v>1</v>
      </c>
      <c r="F2">
        <v>7</v>
      </c>
      <c r="G2">
        <v>4</v>
      </c>
    </row>
    <row r="3" spans="1:7" x14ac:dyDescent="0.35">
      <c r="A3" t="s">
        <v>29</v>
      </c>
      <c r="B3">
        <v>0</v>
      </c>
      <c r="C3">
        <v>1</v>
      </c>
      <c r="D3">
        <v>0</v>
      </c>
      <c r="E3">
        <v>4</v>
      </c>
      <c r="F3">
        <v>5</v>
      </c>
      <c r="G3">
        <v>1</v>
      </c>
    </row>
    <row r="4" spans="1:7" x14ac:dyDescent="0.3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t="s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t="s">
        <v>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t="s">
        <v>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t="s">
        <v>38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t="s">
        <v>40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t="s">
        <v>41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5">
      <c r="A16" t="s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t="s">
        <v>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47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t="s">
        <v>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49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5">
      <c r="A25" t="s">
        <v>51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charter</vt:lpstr>
      <vt:lpstr>hr</vt:lpstr>
      <vt:lpstr>hr2</vt:lpstr>
      <vt:lpstr>tele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otieno</dc:creator>
  <cp:lastModifiedBy>philip otieno</cp:lastModifiedBy>
  <dcterms:created xsi:type="dcterms:W3CDTF">2026-02-05T11:29:18Z</dcterms:created>
  <dcterms:modified xsi:type="dcterms:W3CDTF">2026-04-02T13:57:43Z</dcterms:modified>
</cp:coreProperties>
</file>